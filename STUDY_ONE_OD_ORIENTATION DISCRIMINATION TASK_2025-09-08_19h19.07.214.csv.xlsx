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psychopy\data\"/>
    </mc:Choice>
  </mc:AlternateContent>
  <xr:revisionPtr revIDLastSave="0" documentId="13_ncr:1_{912C4D64-6DB1-4AAA-AED8-5F740F1B38E6}" xr6:coauthVersionLast="47" xr6:coauthVersionMax="47" xr10:uidLastSave="{00000000-0000-0000-0000-000000000000}"/>
  <bookViews>
    <workbookView xWindow="-108" yWindow="-108" windowWidth="23256" windowHeight="12456" xr2:uid="{ABA6A759-B937-4274-AECC-F8BDC0F9B419}"/>
  </bookViews>
  <sheets>
    <sheet name="STUDY_ONE_OD_ORIENTATION DISCRI" sheetId="1" r:id="rId1"/>
    <sheet name="CALCUL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2" l="1"/>
  <c r="C23" i="2"/>
  <c r="C20" i="2"/>
  <c r="C17" i="2"/>
  <c r="C16" i="2"/>
  <c r="C19" i="2" s="1"/>
  <c r="F102" i="1"/>
  <c r="G102" i="1"/>
  <c r="H102" i="1"/>
  <c r="E102" i="1"/>
</calcChain>
</file>

<file path=xl/sharedStrings.xml><?xml version="1.0" encoding="utf-8"?>
<sst xmlns="http://schemas.openxmlformats.org/spreadsheetml/2006/main" count="144" uniqueCount="40">
  <si>
    <t>thisN</t>
  </si>
  <si>
    <t>key_resp.keys</t>
  </si>
  <si>
    <t>key_resp.corr</t>
  </si>
  <si>
    <t>tilt</t>
  </si>
  <si>
    <t>up</t>
  </si>
  <si>
    <t>down</t>
  </si>
  <si>
    <t>HIT</t>
  </si>
  <si>
    <t>MISS</t>
  </si>
  <si>
    <t>FA</t>
  </si>
  <si>
    <t>CR</t>
  </si>
  <si>
    <t>respond YES</t>
  </si>
  <si>
    <t>respond NO</t>
  </si>
  <si>
    <t>signal present</t>
  </si>
  <si>
    <t>hit</t>
  </si>
  <si>
    <t>miss</t>
  </si>
  <si>
    <t>signal absent</t>
  </si>
  <si>
    <t>false alarm</t>
  </si>
  <si>
    <t>correct rejection</t>
  </si>
  <si>
    <t>FOR STUDY ONE</t>
  </si>
  <si>
    <t>REFRENCE</t>
  </si>
  <si>
    <t>FORMULA CALCULATIONS</t>
  </si>
  <si>
    <t>prop hit = hit/hit+miss</t>
  </si>
  <si>
    <t>prop fa = fa/fa+corr rejection</t>
  </si>
  <si>
    <t>STUDY ONE</t>
  </si>
  <si>
    <t>d-prime = z(prop hit) - z(prop fa)</t>
  </si>
  <si>
    <t>c= -z(prop hit) + z(prop fa)/2</t>
  </si>
  <si>
    <t>FORMULAS</t>
  </si>
  <si>
    <t>PROBABILITY OF HIT</t>
  </si>
  <si>
    <t>PROBABILITY OF FALSE ALARM</t>
  </si>
  <si>
    <t>D-PRIME</t>
  </si>
  <si>
    <t>CRITERION</t>
  </si>
  <si>
    <t>CATEGORY</t>
  </si>
  <si>
    <t>TOTAL</t>
  </si>
  <si>
    <t>FALSE ALARM</t>
  </si>
  <si>
    <t>CORRECT REJECTION</t>
  </si>
  <si>
    <t>perceptual bias</t>
  </si>
  <si>
    <t>liberal</t>
  </si>
  <si>
    <t>sensitivity to stimuli</t>
  </si>
  <si>
    <t>correct responses</t>
  </si>
  <si>
    <t>incorrect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</si>
</sst>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5" borderId="10" xfId="0" applyFill="1" applyBorder="1"/>
    <xf numFmtId="0" fontId="0" fillId="36" borderId="10" xfId="0" applyFill="1" applyBorder="1"/>
    <xf numFmtId="0" fontId="0" fillId="33" borderId="10" xfId="0" applyFill="1" applyBorder="1"/>
    <xf numFmtId="0" fontId="0" fillId="34" borderId="10" xfId="0" applyFill="1" applyBorder="1"/>
    <xf numFmtId="0" fontId="0" fillId="37" borderId="0" xfId="0" applyFill="1"/>
    <xf numFmtId="0" fontId="0" fillId="0" borderId="10" xfId="0" applyBorder="1"/>
    <xf numFmtId="0" fontId="18" fillId="38" borderId="10" xfId="0" applyFont="1" applyFill="1" applyBorder="1"/>
    <xf numFmtId="0" fontId="0" fillId="38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7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SIGNAL DETECTION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CALCULATION!$F$5:$F$8</c:f>
              <c:strCache>
                <c:ptCount val="4"/>
                <c:pt idx="0">
                  <c:v>HIT</c:v>
                </c:pt>
                <c:pt idx="1">
                  <c:v>MISS</c:v>
                </c:pt>
                <c:pt idx="2">
                  <c:v>FALSE ALARM</c:v>
                </c:pt>
                <c:pt idx="3">
                  <c:v>CORRECT REJECTION</c:v>
                </c:pt>
              </c:strCache>
            </c:strRef>
          </c:cat>
          <c:val>
            <c:numRef>
              <c:f>CALCULATION!$G$5:$G$8</c:f>
              <c:numCache>
                <c:formatCode>General</c:formatCode>
                <c:ptCount val="4"/>
                <c:pt idx="0">
                  <c:v>32</c:v>
                </c:pt>
                <c:pt idx="1">
                  <c:v>10</c:v>
                </c:pt>
                <c:pt idx="2">
                  <c:v>19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2-4398-A564-6C284CB9D0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359566800"/>
        <c:axId val="359567760"/>
      </c:barChart>
      <c:catAx>
        <c:axId val="35956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DETECTION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67760"/>
        <c:crosses val="autoZero"/>
        <c:auto val="1"/>
        <c:lblAlgn val="ctr"/>
        <c:lblOffset val="100"/>
        <c:noMultiLvlLbl val="0"/>
      </c:catAx>
      <c:valAx>
        <c:axId val="35956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RESPONSES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6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10</xdr:row>
      <xdr:rowOff>80010</xdr:rowOff>
    </xdr:from>
    <xdr:to>
      <xdr:col>11</xdr:col>
      <xdr:colOff>434340</xdr:colOff>
      <xdr:row>20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A0D329-D29E-9D16-E57F-7003AF450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C74A-D418-408B-8F62-429EAFE89C7D}">
  <dimension ref="A1:H102"/>
  <sheetViews>
    <sheetView tabSelected="1" topLeftCell="B1" workbookViewId="0">
      <selection activeCell="I98" sqref="I98"/>
    </sheetView>
  </sheetViews>
  <sheetFormatPr defaultRowHeight="14.4" x14ac:dyDescent="0.3"/>
  <cols>
    <col min="1" max="1" width="8.88671875" style="3"/>
    <col min="2" max="2" width="17.88671875" style="2" customWidth="1"/>
    <col min="3" max="3" width="12.6640625" style="4" customWidth="1"/>
    <col min="4" max="4" width="15.21875" style="1" customWidth="1"/>
  </cols>
  <sheetData>
    <row r="1" spans="1:8" x14ac:dyDescent="0.3">
      <c r="A1" s="5" t="s">
        <v>0</v>
      </c>
      <c r="B1" s="8" t="s">
        <v>3</v>
      </c>
      <c r="C1" s="6" t="s">
        <v>1</v>
      </c>
      <c r="D1" s="7" t="s">
        <v>2</v>
      </c>
      <c r="E1" t="s">
        <v>6</v>
      </c>
      <c r="F1" t="s">
        <v>7</v>
      </c>
      <c r="G1" t="s">
        <v>8</v>
      </c>
      <c r="H1" t="s">
        <v>9</v>
      </c>
    </row>
    <row r="2" spans="1:8" x14ac:dyDescent="0.3">
      <c r="A2" s="5">
        <v>0</v>
      </c>
      <c r="B2" s="8">
        <v>0</v>
      </c>
      <c r="C2" s="6" t="s">
        <v>4</v>
      </c>
      <c r="D2" s="7">
        <v>1</v>
      </c>
      <c r="E2">
        <v>1</v>
      </c>
    </row>
    <row r="3" spans="1:8" x14ac:dyDescent="0.3">
      <c r="A3" s="5">
        <v>1</v>
      </c>
      <c r="B3" s="8">
        <v>-3</v>
      </c>
      <c r="C3" s="6" t="s">
        <v>5</v>
      </c>
      <c r="D3" s="7">
        <v>1</v>
      </c>
      <c r="H3">
        <v>1</v>
      </c>
    </row>
    <row r="4" spans="1:8" x14ac:dyDescent="0.3">
      <c r="A4" s="5">
        <v>2</v>
      </c>
      <c r="B4" s="8">
        <v>4</v>
      </c>
      <c r="C4" s="6" t="s">
        <v>5</v>
      </c>
      <c r="D4" s="7">
        <v>1</v>
      </c>
      <c r="H4">
        <v>1</v>
      </c>
    </row>
    <row r="5" spans="1:8" x14ac:dyDescent="0.3">
      <c r="A5" s="5">
        <v>3</v>
      </c>
      <c r="B5" s="8">
        <v>4</v>
      </c>
      <c r="C5" s="6" t="s">
        <v>5</v>
      </c>
      <c r="D5" s="7">
        <v>1</v>
      </c>
      <c r="H5">
        <v>1</v>
      </c>
    </row>
    <row r="6" spans="1:8" x14ac:dyDescent="0.3">
      <c r="A6" s="5">
        <v>4</v>
      </c>
      <c r="B6" s="8">
        <v>3</v>
      </c>
      <c r="C6" s="6" t="s">
        <v>5</v>
      </c>
      <c r="D6" s="7">
        <v>1</v>
      </c>
      <c r="H6">
        <v>1</v>
      </c>
    </row>
    <row r="7" spans="1:8" x14ac:dyDescent="0.3">
      <c r="A7" s="5">
        <v>5</v>
      </c>
      <c r="B7" s="8">
        <v>0</v>
      </c>
      <c r="C7" s="6" t="s">
        <v>4</v>
      </c>
      <c r="D7" s="7">
        <v>1</v>
      </c>
      <c r="E7">
        <v>1</v>
      </c>
    </row>
    <row r="8" spans="1:8" x14ac:dyDescent="0.3">
      <c r="A8" s="5">
        <v>6</v>
      </c>
      <c r="B8" s="8">
        <v>-4</v>
      </c>
      <c r="C8" s="6" t="s">
        <v>4</v>
      </c>
      <c r="D8" s="7">
        <v>0</v>
      </c>
      <c r="G8">
        <v>1</v>
      </c>
    </row>
    <row r="9" spans="1:8" x14ac:dyDescent="0.3">
      <c r="A9" s="5">
        <v>7</v>
      </c>
      <c r="B9" s="8">
        <v>4</v>
      </c>
      <c r="C9" s="6" t="s">
        <v>4</v>
      </c>
      <c r="D9" s="7">
        <v>0</v>
      </c>
      <c r="G9">
        <v>1</v>
      </c>
    </row>
    <row r="10" spans="1:8" x14ac:dyDescent="0.3">
      <c r="A10" s="5">
        <v>8</v>
      </c>
      <c r="B10" s="8">
        <v>-3</v>
      </c>
      <c r="C10" s="6" t="s">
        <v>4</v>
      </c>
      <c r="D10" s="7">
        <v>0</v>
      </c>
      <c r="G10">
        <v>1</v>
      </c>
    </row>
    <row r="11" spans="1:8" x14ac:dyDescent="0.3">
      <c r="A11" s="5">
        <v>9</v>
      </c>
      <c r="B11" s="8">
        <v>0</v>
      </c>
      <c r="C11" s="6" t="s">
        <v>4</v>
      </c>
      <c r="D11" s="7">
        <v>1</v>
      </c>
      <c r="E11">
        <v>1</v>
      </c>
    </row>
    <row r="12" spans="1:8" x14ac:dyDescent="0.3">
      <c r="A12" s="5">
        <v>10</v>
      </c>
      <c r="B12" s="8">
        <v>4</v>
      </c>
      <c r="C12" s="6" t="s">
        <v>5</v>
      </c>
      <c r="D12" s="7">
        <v>1</v>
      </c>
      <c r="H12">
        <v>1</v>
      </c>
    </row>
    <row r="13" spans="1:8" x14ac:dyDescent="0.3">
      <c r="A13" s="5">
        <v>11</v>
      </c>
      <c r="B13" s="8">
        <v>3</v>
      </c>
      <c r="C13" s="6" t="s">
        <v>4</v>
      </c>
      <c r="D13" s="7">
        <v>0</v>
      </c>
      <c r="G13">
        <v>1</v>
      </c>
    </row>
    <row r="14" spans="1:8" x14ac:dyDescent="0.3">
      <c r="A14" s="5">
        <v>12</v>
      </c>
      <c r="B14" s="8">
        <v>2</v>
      </c>
      <c r="C14" s="6" t="s">
        <v>4</v>
      </c>
      <c r="D14" s="7">
        <v>0</v>
      </c>
      <c r="G14">
        <v>1</v>
      </c>
    </row>
    <row r="15" spans="1:8" x14ac:dyDescent="0.3">
      <c r="A15" s="5">
        <v>13</v>
      </c>
      <c r="B15" s="8">
        <v>0</v>
      </c>
      <c r="C15" s="6" t="s">
        <v>5</v>
      </c>
      <c r="D15" s="7">
        <v>0</v>
      </c>
      <c r="F15">
        <v>1</v>
      </c>
    </row>
    <row r="16" spans="1:8" x14ac:dyDescent="0.3">
      <c r="A16" s="5">
        <v>14</v>
      </c>
      <c r="B16" s="8">
        <v>0</v>
      </c>
      <c r="C16" s="6" t="s">
        <v>4</v>
      </c>
      <c r="D16" s="7">
        <v>1</v>
      </c>
      <c r="E16">
        <v>1</v>
      </c>
    </row>
    <row r="17" spans="1:8" x14ac:dyDescent="0.3">
      <c r="A17" s="5">
        <v>15</v>
      </c>
      <c r="B17" s="8">
        <v>0</v>
      </c>
      <c r="C17" s="6" t="s">
        <v>4</v>
      </c>
      <c r="D17" s="7">
        <v>1</v>
      </c>
      <c r="E17">
        <v>1</v>
      </c>
    </row>
    <row r="18" spans="1:8" x14ac:dyDescent="0.3">
      <c r="A18" s="5">
        <v>16</v>
      </c>
      <c r="B18" s="8">
        <v>2</v>
      </c>
      <c r="C18" s="6" t="s">
        <v>5</v>
      </c>
      <c r="D18" s="7">
        <v>1</v>
      </c>
      <c r="H18">
        <v>1</v>
      </c>
    </row>
    <row r="19" spans="1:8" x14ac:dyDescent="0.3">
      <c r="A19" s="5">
        <v>17</v>
      </c>
      <c r="B19" s="8">
        <v>-4</v>
      </c>
      <c r="C19" s="6" t="s">
        <v>5</v>
      </c>
      <c r="D19" s="7">
        <v>1</v>
      </c>
      <c r="H19">
        <v>1</v>
      </c>
    </row>
    <row r="20" spans="1:8" x14ac:dyDescent="0.3">
      <c r="A20" s="5">
        <v>18</v>
      </c>
      <c r="B20" s="8">
        <v>0</v>
      </c>
      <c r="C20" s="6" t="s">
        <v>4</v>
      </c>
      <c r="D20" s="7">
        <v>1</v>
      </c>
      <c r="E20">
        <v>1</v>
      </c>
    </row>
    <row r="21" spans="1:8" x14ac:dyDescent="0.3">
      <c r="A21" s="5">
        <v>19</v>
      </c>
      <c r="B21" s="8">
        <v>1</v>
      </c>
      <c r="C21" s="6" t="s">
        <v>5</v>
      </c>
      <c r="D21" s="7">
        <v>1</v>
      </c>
      <c r="H21">
        <v>1</v>
      </c>
    </row>
    <row r="22" spans="1:8" x14ac:dyDescent="0.3">
      <c r="A22" s="5">
        <v>20</v>
      </c>
      <c r="B22" s="8">
        <v>0</v>
      </c>
      <c r="C22" s="6" t="s">
        <v>4</v>
      </c>
      <c r="D22" s="7">
        <v>1</v>
      </c>
      <c r="E22">
        <v>1</v>
      </c>
    </row>
    <row r="23" spans="1:8" x14ac:dyDescent="0.3">
      <c r="A23" s="5">
        <v>21</v>
      </c>
      <c r="B23" s="8">
        <v>-5</v>
      </c>
      <c r="C23" s="6" t="s">
        <v>5</v>
      </c>
      <c r="D23" s="7">
        <v>1</v>
      </c>
      <c r="H23">
        <v>1</v>
      </c>
    </row>
    <row r="24" spans="1:8" x14ac:dyDescent="0.3">
      <c r="A24" s="5">
        <v>22</v>
      </c>
      <c r="B24" s="8">
        <v>-4</v>
      </c>
      <c r="C24" s="6" t="s">
        <v>5</v>
      </c>
      <c r="D24" s="7">
        <v>1</v>
      </c>
      <c r="H24">
        <v>1</v>
      </c>
    </row>
    <row r="25" spans="1:8" x14ac:dyDescent="0.3">
      <c r="A25" s="5">
        <v>23</v>
      </c>
      <c r="B25" s="8">
        <v>0</v>
      </c>
      <c r="C25" s="6" t="s">
        <v>4</v>
      </c>
      <c r="D25" s="7">
        <v>1</v>
      </c>
      <c r="E25">
        <v>1</v>
      </c>
    </row>
    <row r="26" spans="1:8" x14ac:dyDescent="0.3">
      <c r="A26" s="5">
        <v>24</v>
      </c>
      <c r="B26" s="8">
        <v>0</v>
      </c>
      <c r="C26" s="6" t="s">
        <v>4</v>
      </c>
      <c r="D26" s="7">
        <v>1</v>
      </c>
      <c r="E26">
        <v>1</v>
      </c>
    </row>
    <row r="27" spans="1:8" x14ac:dyDescent="0.3">
      <c r="A27" s="5">
        <v>25</v>
      </c>
      <c r="B27" s="8">
        <v>0</v>
      </c>
      <c r="C27" s="6" t="s">
        <v>4</v>
      </c>
      <c r="D27" s="7">
        <v>1</v>
      </c>
      <c r="E27">
        <v>1</v>
      </c>
    </row>
    <row r="28" spans="1:8" x14ac:dyDescent="0.3">
      <c r="A28" s="5">
        <v>26</v>
      </c>
      <c r="B28" s="8">
        <v>-5</v>
      </c>
      <c r="C28" s="6" t="s">
        <v>5</v>
      </c>
      <c r="D28" s="7">
        <v>1</v>
      </c>
      <c r="H28">
        <v>1</v>
      </c>
    </row>
    <row r="29" spans="1:8" x14ac:dyDescent="0.3">
      <c r="A29" s="5">
        <v>27</v>
      </c>
      <c r="B29" s="8">
        <v>4</v>
      </c>
      <c r="C29" s="6" t="s">
        <v>4</v>
      </c>
      <c r="D29" s="7">
        <v>0</v>
      </c>
      <c r="G29">
        <v>1</v>
      </c>
    </row>
    <row r="30" spans="1:8" x14ac:dyDescent="0.3">
      <c r="A30" s="5">
        <v>28</v>
      </c>
      <c r="B30" s="8">
        <v>-5</v>
      </c>
      <c r="C30" s="6" t="s">
        <v>5</v>
      </c>
      <c r="D30" s="7">
        <v>1</v>
      </c>
      <c r="H30">
        <v>1</v>
      </c>
    </row>
    <row r="31" spans="1:8" x14ac:dyDescent="0.3">
      <c r="A31" s="5">
        <v>29</v>
      </c>
      <c r="B31" s="8">
        <v>0</v>
      </c>
      <c r="C31" s="6" t="s">
        <v>5</v>
      </c>
      <c r="D31" s="7">
        <v>0</v>
      </c>
      <c r="F31">
        <v>1</v>
      </c>
    </row>
    <row r="32" spans="1:8" x14ac:dyDescent="0.3">
      <c r="A32" s="5">
        <v>30</v>
      </c>
      <c r="B32" s="8">
        <v>2</v>
      </c>
      <c r="C32" s="6" t="s">
        <v>4</v>
      </c>
      <c r="D32" s="7">
        <v>0</v>
      </c>
      <c r="G32">
        <v>1</v>
      </c>
    </row>
    <row r="33" spans="1:8" x14ac:dyDescent="0.3">
      <c r="A33" s="5">
        <v>31</v>
      </c>
      <c r="B33" s="8">
        <v>-2</v>
      </c>
      <c r="C33" s="6" t="s">
        <v>5</v>
      </c>
      <c r="D33" s="7">
        <v>1</v>
      </c>
      <c r="H33">
        <v>1</v>
      </c>
    </row>
    <row r="34" spans="1:8" x14ac:dyDescent="0.3">
      <c r="A34" s="5">
        <v>32</v>
      </c>
      <c r="B34" s="8">
        <v>-4</v>
      </c>
      <c r="C34" s="6" t="s">
        <v>5</v>
      </c>
      <c r="D34" s="7">
        <v>1</v>
      </c>
      <c r="H34">
        <v>1</v>
      </c>
    </row>
    <row r="35" spans="1:8" x14ac:dyDescent="0.3">
      <c r="A35" s="5">
        <v>33</v>
      </c>
      <c r="B35" s="8">
        <v>0</v>
      </c>
      <c r="C35" s="6" t="s">
        <v>5</v>
      </c>
      <c r="D35" s="7">
        <v>0</v>
      </c>
      <c r="F35">
        <v>1</v>
      </c>
    </row>
    <row r="36" spans="1:8" x14ac:dyDescent="0.3">
      <c r="A36" s="5">
        <v>34</v>
      </c>
      <c r="B36" s="8">
        <v>0</v>
      </c>
      <c r="C36" s="6" t="s">
        <v>4</v>
      </c>
      <c r="D36" s="7">
        <v>1</v>
      </c>
      <c r="E36">
        <v>1</v>
      </c>
    </row>
    <row r="37" spans="1:8" x14ac:dyDescent="0.3">
      <c r="A37" s="5">
        <v>35</v>
      </c>
      <c r="B37" s="8">
        <v>0</v>
      </c>
      <c r="C37" s="6" t="s">
        <v>4</v>
      </c>
      <c r="D37" s="7">
        <v>1</v>
      </c>
      <c r="E37">
        <v>1</v>
      </c>
    </row>
    <row r="38" spans="1:8" x14ac:dyDescent="0.3">
      <c r="A38" s="5">
        <v>36</v>
      </c>
      <c r="B38" s="8">
        <v>4</v>
      </c>
      <c r="C38" s="6" t="s">
        <v>5</v>
      </c>
      <c r="D38" s="7">
        <v>1</v>
      </c>
      <c r="H38">
        <v>1</v>
      </c>
    </row>
    <row r="39" spans="1:8" x14ac:dyDescent="0.3">
      <c r="A39" s="5">
        <v>37</v>
      </c>
      <c r="B39" s="8">
        <v>-5</v>
      </c>
      <c r="C39" s="6" t="s">
        <v>4</v>
      </c>
      <c r="D39" s="7">
        <v>0</v>
      </c>
      <c r="G39">
        <v>1</v>
      </c>
    </row>
    <row r="40" spans="1:8" x14ac:dyDescent="0.3">
      <c r="A40" s="5">
        <v>38</v>
      </c>
      <c r="B40" s="8">
        <v>0</v>
      </c>
      <c r="C40" s="6" t="s">
        <v>4</v>
      </c>
      <c r="D40" s="7">
        <v>1</v>
      </c>
      <c r="E40">
        <v>1</v>
      </c>
    </row>
    <row r="41" spans="1:8" x14ac:dyDescent="0.3">
      <c r="A41" s="5">
        <v>39</v>
      </c>
      <c r="B41" s="8">
        <v>3</v>
      </c>
      <c r="C41" s="6" t="s">
        <v>4</v>
      </c>
      <c r="D41" s="7">
        <v>0</v>
      </c>
      <c r="G41">
        <v>1</v>
      </c>
    </row>
    <row r="42" spans="1:8" x14ac:dyDescent="0.3">
      <c r="A42" s="5">
        <v>40</v>
      </c>
      <c r="B42" s="8">
        <v>0</v>
      </c>
      <c r="C42" s="6" t="s">
        <v>5</v>
      </c>
      <c r="D42" s="7">
        <v>0</v>
      </c>
      <c r="F42">
        <v>1</v>
      </c>
    </row>
    <row r="43" spans="1:8" x14ac:dyDescent="0.3">
      <c r="A43" s="5">
        <v>41</v>
      </c>
      <c r="B43" s="8">
        <v>2</v>
      </c>
      <c r="C43" s="6" t="s">
        <v>4</v>
      </c>
      <c r="D43" s="7">
        <v>0</v>
      </c>
      <c r="G43">
        <v>1</v>
      </c>
    </row>
    <row r="44" spans="1:8" x14ac:dyDescent="0.3">
      <c r="A44" s="5">
        <v>42</v>
      </c>
      <c r="B44" s="8">
        <v>0</v>
      </c>
      <c r="C44" s="6" t="s">
        <v>4</v>
      </c>
      <c r="D44" s="7">
        <v>1</v>
      </c>
      <c r="E44">
        <v>1</v>
      </c>
    </row>
    <row r="45" spans="1:8" x14ac:dyDescent="0.3">
      <c r="A45" s="5">
        <v>43</v>
      </c>
      <c r="B45" s="8">
        <v>0</v>
      </c>
      <c r="C45" s="6" t="s">
        <v>4</v>
      </c>
      <c r="D45" s="7">
        <v>1</v>
      </c>
      <c r="E45">
        <v>1</v>
      </c>
    </row>
    <row r="46" spans="1:8" x14ac:dyDescent="0.3">
      <c r="A46" s="5">
        <v>44</v>
      </c>
      <c r="B46" s="8">
        <v>0</v>
      </c>
      <c r="C46" s="6" t="s">
        <v>4</v>
      </c>
      <c r="D46" s="7">
        <v>1</v>
      </c>
      <c r="E46">
        <v>1</v>
      </c>
    </row>
    <row r="47" spans="1:8" x14ac:dyDescent="0.3">
      <c r="A47" s="5">
        <v>45</v>
      </c>
      <c r="B47" s="8">
        <v>0</v>
      </c>
      <c r="C47" s="6" t="s">
        <v>4</v>
      </c>
      <c r="D47" s="7">
        <v>1</v>
      </c>
      <c r="E47">
        <v>1</v>
      </c>
    </row>
    <row r="48" spans="1:8" x14ac:dyDescent="0.3">
      <c r="A48" s="5">
        <v>46</v>
      </c>
      <c r="B48" s="8">
        <v>0</v>
      </c>
      <c r="C48" s="6" t="s">
        <v>5</v>
      </c>
      <c r="D48" s="7">
        <v>0</v>
      </c>
      <c r="F48">
        <v>1</v>
      </c>
    </row>
    <row r="49" spans="1:8" x14ac:dyDescent="0.3">
      <c r="A49" s="5">
        <v>47</v>
      </c>
      <c r="B49" s="8">
        <v>2</v>
      </c>
      <c r="C49" s="6" t="s">
        <v>5</v>
      </c>
      <c r="D49" s="7">
        <v>1</v>
      </c>
      <c r="H49">
        <v>1</v>
      </c>
    </row>
    <row r="50" spans="1:8" x14ac:dyDescent="0.3">
      <c r="A50" s="5">
        <v>48</v>
      </c>
      <c r="B50" s="8">
        <v>0</v>
      </c>
      <c r="C50" s="6" t="s">
        <v>4</v>
      </c>
      <c r="D50" s="7">
        <v>1</v>
      </c>
      <c r="E50">
        <v>1</v>
      </c>
    </row>
    <row r="51" spans="1:8" x14ac:dyDescent="0.3">
      <c r="A51" s="5">
        <v>49</v>
      </c>
      <c r="B51" s="8">
        <v>0</v>
      </c>
      <c r="C51" s="6" t="s">
        <v>4</v>
      </c>
      <c r="D51" s="7">
        <v>1</v>
      </c>
      <c r="E51">
        <v>1</v>
      </c>
    </row>
    <row r="52" spans="1:8" x14ac:dyDescent="0.3">
      <c r="A52" s="5">
        <v>50</v>
      </c>
      <c r="B52" s="8">
        <v>0</v>
      </c>
      <c r="C52" s="6" t="s">
        <v>4</v>
      </c>
      <c r="D52" s="7">
        <v>1</v>
      </c>
      <c r="E52">
        <v>1</v>
      </c>
    </row>
    <row r="53" spans="1:8" x14ac:dyDescent="0.3">
      <c r="A53" s="5">
        <v>51</v>
      </c>
      <c r="B53" s="8">
        <v>-2</v>
      </c>
      <c r="C53" s="6" t="s">
        <v>5</v>
      </c>
      <c r="D53" s="7">
        <v>1</v>
      </c>
      <c r="H53">
        <v>1</v>
      </c>
    </row>
    <row r="54" spans="1:8" x14ac:dyDescent="0.3">
      <c r="A54" s="5">
        <v>52</v>
      </c>
      <c r="B54" s="8">
        <v>3</v>
      </c>
      <c r="C54" s="6" t="s">
        <v>5</v>
      </c>
      <c r="D54" s="7">
        <v>1</v>
      </c>
      <c r="H54">
        <v>1</v>
      </c>
    </row>
    <row r="55" spans="1:8" x14ac:dyDescent="0.3">
      <c r="A55" s="5">
        <v>53</v>
      </c>
      <c r="B55" s="8">
        <v>4</v>
      </c>
      <c r="C55" s="6" t="s">
        <v>5</v>
      </c>
      <c r="D55" s="7">
        <v>1</v>
      </c>
      <c r="H55">
        <v>1</v>
      </c>
    </row>
    <row r="56" spans="1:8" x14ac:dyDescent="0.3">
      <c r="A56" s="5">
        <v>54</v>
      </c>
      <c r="B56" s="8">
        <v>0</v>
      </c>
      <c r="C56" s="6" t="s">
        <v>4</v>
      </c>
      <c r="D56" s="7">
        <v>1</v>
      </c>
      <c r="E56">
        <v>1</v>
      </c>
    </row>
    <row r="57" spans="1:8" x14ac:dyDescent="0.3">
      <c r="A57" s="5">
        <v>55</v>
      </c>
      <c r="B57" s="8">
        <v>-4</v>
      </c>
      <c r="C57" s="6" t="s">
        <v>5</v>
      </c>
      <c r="D57" s="7">
        <v>1</v>
      </c>
      <c r="H57">
        <v>1</v>
      </c>
    </row>
    <row r="58" spans="1:8" x14ac:dyDescent="0.3">
      <c r="A58" s="5">
        <v>56</v>
      </c>
      <c r="B58" s="8">
        <v>0</v>
      </c>
      <c r="C58" s="6" t="s">
        <v>4</v>
      </c>
      <c r="D58" s="7">
        <v>1</v>
      </c>
      <c r="E58">
        <v>1</v>
      </c>
    </row>
    <row r="59" spans="1:8" x14ac:dyDescent="0.3">
      <c r="A59" s="5">
        <v>57</v>
      </c>
      <c r="B59" s="8">
        <v>0</v>
      </c>
      <c r="C59" s="6" t="s">
        <v>4</v>
      </c>
      <c r="D59" s="7">
        <v>1</v>
      </c>
      <c r="E59">
        <v>1</v>
      </c>
    </row>
    <row r="60" spans="1:8" x14ac:dyDescent="0.3">
      <c r="A60" s="5">
        <v>58</v>
      </c>
      <c r="B60" s="8">
        <v>-2</v>
      </c>
      <c r="C60" s="6" t="s">
        <v>4</v>
      </c>
      <c r="D60" s="7">
        <v>0</v>
      </c>
      <c r="G60">
        <v>1</v>
      </c>
    </row>
    <row r="61" spans="1:8" x14ac:dyDescent="0.3">
      <c r="A61" s="5">
        <v>59</v>
      </c>
      <c r="B61" s="8">
        <v>-2</v>
      </c>
      <c r="C61" s="6" t="s">
        <v>5</v>
      </c>
      <c r="D61" s="7">
        <v>1</v>
      </c>
      <c r="H61">
        <v>1</v>
      </c>
    </row>
    <row r="62" spans="1:8" x14ac:dyDescent="0.3">
      <c r="A62" s="5">
        <v>60</v>
      </c>
      <c r="B62" s="8">
        <v>-3</v>
      </c>
      <c r="C62" s="6" t="s">
        <v>5</v>
      </c>
      <c r="D62" s="7">
        <v>1</v>
      </c>
      <c r="H62">
        <v>1</v>
      </c>
    </row>
    <row r="63" spans="1:8" x14ac:dyDescent="0.3">
      <c r="A63" s="5">
        <v>61</v>
      </c>
      <c r="B63" s="8">
        <v>3</v>
      </c>
      <c r="C63" s="6" t="s">
        <v>5</v>
      </c>
      <c r="D63" s="7">
        <v>1</v>
      </c>
      <c r="H63">
        <v>1</v>
      </c>
    </row>
    <row r="64" spans="1:8" x14ac:dyDescent="0.3">
      <c r="A64" s="5">
        <v>62</v>
      </c>
      <c r="B64" s="8">
        <v>3</v>
      </c>
      <c r="C64" s="6" t="s">
        <v>5</v>
      </c>
      <c r="D64" s="7">
        <v>1</v>
      </c>
      <c r="H64">
        <v>1</v>
      </c>
    </row>
    <row r="65" spans="1:8" x14ac:dyDescent="0.3">
      <c r="A65" s="5">
        <v>63</v>
      </c>
      <c r="B65" s="8">
        <v>-2</v>
      </c>
      <c r="C65" s="6" t="s">
        <v>4</v>
      </c>
      <c r="D65" s="7">
        <v>0</v>
      </c>
      <c r="G65">
        <v>1</v>
      </c>
    </row>
    <row r="66" spans="1:8" x14ac:dyDescent="0.3">
      <c r="A66" s="5">
        <v>64</v>
      </c>
      <c r="B66" s="8">
        <v>-2</v>
      </c>
      <c r="C66" s="6" t="s">
        <v>4</v>
      </c>
      <c r="D66" s="7">
        <v>0</v>
      </c>
      <c r="G66">
        <v>1</v>
      </c>
    </row>
    <row r="67" spans="1:8" x14ac:dyDescent="0.3">
      <c r="A67" s="5">
        <v>65</v>
      </c>
      <c r="B67" s="8">
        <v>3</v>
      </c>
      <c r="C67" s="6" t="s">
        <v>5</v>
      </c>
      <c r="D67" s="7">
        <v>1</v>
      </c>
      <c r="H67">
        <v>1</v>
      </c>
    </row>
    <row r="68" spans="1:8" x14ac:dyDescent="0.3">
      <c r="A68" s="5">
        <v>66</v>
      </c>
      <c r="B68" s="8">
        <v>1</v>
      </c>
      <c r="C68" s="6" t="s">
        <v>5</v>
      </c>
      <c r="D68" s="7">
        <v>1</v>
      </c>
      <c r="H68">
        <v>1</v>
      </c>
    </row>
    <row r="69" spans="1:8" x14ac:dyDescent="0.3">
      <c r="A69" s="5">
        <v>67</v>
      </c>
      <c r="B69" s="8">
        <v>0</v>
      </c>
      <c r="C69" s="6" t="s">
        <v>5</v>
      </c>
      <c r="D69" s="7">
        <v>0</v>
      </c>
      <c r="F69">
        <v>1</v>
      </c>
    </row>
    <row r="70" spans="1:8" x14ac:dyDescent="0.3">
      <c r="A70" s="5">
        <v>68</v>
      </c>
      <c r="B70" s="8">
        <v>-4</v>
      </c>
      <c r="C70" s="6" t="s">
        <v>4</v>
      </c>
      <c r="D70" s="7">
        <v>0</v>
      </c>
      <c r="G70">
        <v>1</v>
      </c>
    </row>
    <row r="71" spans="1:8" x14ac:dyDescent="0.3">
      <c r="A71" s="5">
        <v>69</v>
      </c>
      <c r="B71" s="8">
        <v>0</v>
      </c>
      <c r="C71" s="6" t="s">
        <v>4</v>
      </c>
      <c r="D71" s="7">
        <v>1</v>
      </c>
      <c r="E71">
        <v>1</v>
      </c>
    </row>
    <row r="72" spans="1:8" x14ac:dyDescent="0.3">
      <c r="A72" s="5">
        <v>70</v>
      </c>
      <c r="B72" s="8">
        <v>0</v>
      </c>
      <c r="C72" s="6" t="s">
        <v>5</v>
      </c>
      <c r="D72" s="7">
        <v>0</v>
      </c>
      <c r="F72">
        <v>1</v>
      </c>
    </row>
    <row r="73" spans="1:8" x14ac:dyDescent="0.3">
      <c r="A73" s="5">
        <v>71</v>
      </c>
      <c r="B73" s="8">
        <v>-3</v>
      </c>
      <c r="C73" s="6" t="s">
        <v>5</v>
      </c>
      <c r="D73" s="7">
        <v>1</v>
      </c>
      <c r="H73">
        <v>1</v>
      </c>
    </row>
    <row r="74" spans="1:8" x14ac:dyDescent="0.3">
      <c r="A74" s="5">
        <v>72</v>
      </c>
      <c r="B74" s="8">
        <v>3</v>
      </c>
      <c r="C74" s="6" t="s">
        <v>5</v>
      </c>
      <c r="D74" s="7">
        <v>1</v>
      </c>
      <c r="H74">
        <v>1</v>
      </c>
    </row>
    <row r="75" spans="1:8" x14ac:dyDescent="0.3">
      <c r="A75" s="5">
        <v>73</v>
      </c>
      <c r="B75" s="8">
        <v>0</v>
      </c>
      <c r="C75" s="6" t="s">
        <v>4</v>
      </c>
      <c r="D75" s="7">
        <v>1</v>
      </c>
      <c r="E75">
        <v>1</v>
      </c>
    </row>
    <row r="76" spans="1:8" x14ac:dyDescent="0.3">
      <c r="A76" s="5">
        <v>74</v>
      </c>
      <c r="B76" s="8">
        <v>0</v>
      </c>
      <c r="C76" s="6" t="s">
        <v>4</v>
      </c>
      <c r="D76" s="7">
        <v>1</v>
      </c>
      <c r="E76">
        <v>1</v>
      </c>
    </row>
    <row r="77" spans="1:8" x14ac:dyDescent="0.3">
      <c r="A77" s="5">
        <v>75</v>
      </c>
      <c r="B77" s="8">
        <v>-5</v>
      </c>
      <c r="C77" s="6" t="s">
        <v>5</v>
      </c>
      <c r="D77" s="7">
        <v>1</v>
      </c>
      <c r="H77">
        <v>1</v>
      </c>
    </row>
    <row r="78" spans="1:8" x14ac:dyDescent="0.3">
      <c r="A78" s="5">
        <v>76</v>
      </c>
      <c r="B78" s="8">
        <v>0</v>
      </c>
      <c r="C78" s="6" t="s">
        <v>4</v>
      </c>
      <c r="D78" s="7">
        <v>1</v>
      </c>
      <c r="E78">
        <v>1</v>
      </c>
    </row>
    <row r="79" spans="1:8" x14ac:dyDescent="0.3">
      <c r="A79" s="5">
        <v>77</v>
      </c>
      <c r="B79" s="8">
        <v>-2</v>
      </c>
      <c r="C79" s="6" t="s">
        <v>4</v>
      </c>
      <c r="D79" s="7">
        <v>0</v>
      </c>
      <c r="G79">
        <v>1</v>
      </c>
    </row>
    <row r="80" spans="1:8" x14ac:dyDescent="0.3">
      <c r="A80" s="5">
        <v>78</v>
      </c>
      <c r="B80" s="8">
        <v>-4</v>
      </c>
      <c r="C80" s="6" t="s">
        <v>5</v>
      </c>
      <c r="D80" s="7">
        <v>1</v>
      </c>
      <c r="H80">
        <v>1</v>
      </c>
    </row>
    <row r="81" spans="1:8" x14ac:dyDescent="0.3">
      <c r="A81" s="5">
        <v>79</v>
      </c>
      <c r="B81" s="8">
        <v>3</v>
      </c>
      <c r="C81" s="6" t="s">
        <v>4</v>
      </c>
      <c r="D81" s="7">
        <v>0</v>
      </c>
      <c r="G81">
        <v>1</v>
      </c>
    </row>
    <row r="82" spans="1:8" x14ac:dyDescent="0.3">
      <c r="A82" s="5">
        <v>80</v>
      </c>
      <c r="B82" s="8">
        <v>-2</v>
      </c>
      <c r="C82" s="6" t="s">
        <v>4</v>
      </c>
      <c r="D82" s="7">
        <v>0</v>
      </c>
      <c r="G82">
        <v>1</v>
      </c>
    </row>
    <row r="83" spans="1:8" x14ac:dyDescent="0.3">
      <c r="A83" s="5">
        <v>81</v>
      </c>
      <c r="B83" s="8">
        <v>0</v>
      </c>
      <c r="C83" s="6" t="s">
        <v>4</v>
      </c>
      <c r="D83" s="7">
        <v>1</v>
      </c>
      <c r="E83">
        <v>1</v>
      </c>
    </row>
    <row r="84" spans="1:8" x14ac:dyDescent="0.3">
      <c r="A84" s="5">
        <v>82</v>
      </c>
      <c r="B84" s="8">
        <v>0</v>
      </c>
      <c r="C84" s="6" t="s">
        <v>4</v>
      </c>
      <c r="D84" s="7">
        <v>1</v>
      </c>
      <c r="E84">
        <v>1</v>
      </c>
    </row>
    <row r="85" spans="1:8" x14ac:dyDescent="0.3">
      <c r="A85" s="5">
        <v>83</v>
      </c>
      <c r="B85" s="8">
        <v>-4</v>
      </c>
      <c r="C85" s="6" t="s">
        <v>5</v>
      </c>
      <c r="D85" s="7">
        <v>1</v>
      </c>
      <c r="H85">
        <v>1</v>
      </c>
    </row>
    <row r="86" spans="1:8" x14ac:dyDescent="0.3">
      <c r="A86" s="5">
        <v>84</v>
      </c>
      <c r="B86" s="8">
        <v>-5</v>
      </c>
      <c r="C86" s="6" t="s">
        <v>5</v>
      </c>
      <c r="D86" s="7">
        <v>1</v>
      </c>
      <c r="H86">
        <v>1</v>
      </c>
    </row>
    <row r="87" spans="1:8" x14ac:dyDescent="0.3">
      <c r="A87" s="5">
        <v>85</v>
      </c>
      <c r="B87" s="8">
        <v>0</v>
      </c>
      <c r="C87" s="6" t="s">
        <v>5</v>
      </c>
      <c r="D87" s="7">
        <v>0</v>
      </c>
      <c r="F87">
        <v>1</v>
      </c>
    </row>
    <row r="88" spans="1:8" x14ac:dyDescent="0.3">
      <c r="A88" s="5">
        <v>86</v>
      </c>
      <c r="B88" s="8">
        <v>-3</v>
      </c>
      <c r="C88" s="6" t="s">
        <v>5</v>
      </c>
      <c r="D88" s="7">
        <v>1</v>
      </c>
      <c r="H88">
        <v>1</v>
      </c>
    </row>
    <row r="89" spans="1:8" x14ac:dyDescent="0.3">
      <c r="A89" s="5">
        <v>87</v>
      </c>
      <c r="B89" s="8">
        <v>-5</v>
      </c>
      <c r="C89" s="6" t="s">
        <v>5</v>
      </c>
      <c r="D89" s="7">
        <v>1</v>
      </c>
      <c r="H89">
        <v>1</v>
      </c>
    </row>
    <row r="90" spans="1:8" x14ac:dyDescent="0.3">
      <c r="A90" s="5">
        <v>88</v>
      </c>
      <c r="B90" s="8">
        <v>0</v>
      </c>
      <c r="C90" s="6" t="s">
        <v>5</v>
      </c>
      <c r="D90" s="7">
        <v>0</v>
      </c>
      <c r="F90">
        <v>1</v>
      </c>
    </row>
    <row r="91" spans="1:8" x14ac:dyDescent="0.3">
      <c r="A91" s="5">
        <v>89</v>
      </c>
      <c r="B91" s="8">
        <v>2</v>
      </c>
      <c r="C91" s="6" t="s">
        <v>5</v>
      </c>
      <c r="D91" s="7">
        <v>1</v>
      </c>
      <c r="H91">
        <v>1</v>
      </c>
    </row>
    <row r="92" spans="1:8" x14ac:dyDescent="0.3">
      <c r="A92" s="5">
        <v>90</v>
      </c>
      <c r="B92" s="8">
        <v>4</v>
      </c>
      <c r="C92" s="6" t="s">
        <v>5</v>
      </c>
      <c r="D92" s="7">
        <v>1</v>
      </c>
      <c r="H92">
        <v>1</v>
      </c>
    </row>
    <row r="93" spans="1:8" x14ac:dyDescent="0.3">
      <c r="A93" s="5">
        <v>91</v>
      </c>
      <c r="B93" s="8">
        <v>0</v>
      </c>
      <c r="C93" s="6" t="s">
        <v>4</v>
      </c>
      <c r="D93" s="7">
        <v>1</v>
      </c>
      <c r="E93">
        <v>1</v>
      </c>
    </row>
    <row r="94" spans="1:8" x14ac:dyDescent="0.3">
      <c r="A94" s="5">
        <v>92</v>
      </c>
      <c r="B94" s="8">
        <v>0</v>
      </c>
      <c r="C94" s="6" t="s">
        <v>4</v>
      </c>
      <c r="D94" s="7">
        <v>1</v>
      </c>
      <c r="E94">
        <v>1</v>
      </c>
    </row>
    <row r="95" spans="1:8" x14ac:dyDescent="0.3">
      <c r="A95" s="5">
        <v>93</v>
      </c>
      <c r="B95" s="8">
        <v>2</v>
      </c>
      <c r="C95" s="6" t="s">
        <v>5</v>
      </c>
      <c r="D95" s="7">
        <v>1</v>
      </c>
      <c r="H95">
        <v>1</v>
      </c>
    </row>
    <row r="96" spans="1:8" x14ac:dyDescent="0.3">
      <c r="A96" s="5">
        <v>94</v>
      </c>
      <c r="B96" s="8">
        <v>0</v>
      </c>
      <c r="C96" s="6" t="s">
        <v>5</v>
      </c>
      <c r="D96" s="7">
        <v>0</v>
      </c>
      <c r="F96">
        <v>1</v>
      </c>
    </row>
    <row r="97" spans="1:8" x14ac:dyDescent="0.3">
      <c r="A97" s="5">
        <v>95</v>
      </c>
      <c r="B97" s="8">
        <v>-2</v>
      </c>
      <c r="C97" s="6" t="s">
        <v>4</v>
      </c>
      <c r="D97" s="7">
        <v>0</v>
      </c>
      <c r="G97">
        <v>1</v>
      </c>
    </row>
    <row r="98" spans="1:8" x14ac:dyDescent="0.3">
      <c r="A98" s="5">
        <v>96</v>
      </c>
      <c r="B98" s="8">
        <v>0</v>
      </c>
      <c r="C98" s="6" t="s">
        <v>4</v>
      </c>
      <c r="D98" s="7">
        <v>1</v>
      </c>
      <c r="E98">
        <v>1</v>
      </c>
    </row>
    <row r="99" spans="1:8" x14ac:dyDescent="0.3">
      <c r="A99" s="5">
        <v>97</v>
      </c>
      <c r="B99" s="8">
        <v>3</v>
      </c>
      <c r="C99" s="6" t="s">
        <v>4</v>
      </c>
      <c r="D99" s="7">
        <v>0</v>
      </c>
      <c r="G99">
        <v>1</v>
      </c>
    </row>
    <row r="100" spans="1:8" x14ac:dyDescent="0.3">
      <c r="A100" s="5">
        <v>98</v>
      </c>
      <c r="B100" s="8">
        <v>2</v>
      </c>
      <c r="C100" s="6" t="s">
        <v>5</v>
      </c>
      <c r="D100" s="7">
        <v>1</v>
      </c>
      <c r="H100">
        <v>1</v>
      </c>
    </row>
    <row r="101" spans="1:8" x14ac:dyDescent="0.3">
      <c r="A101" s="5">
        <v>99</v>
      </c>
      <c r="B101" s="8">
        <v>4</v>
      </c>
      <c r="C101" s="6" t="s">
        <v>5</v>
      </c>
      <c r="D101" s="7">
        <v>1</v>
      </c>
      <c r="H101">
        <v>1</v>
      </c>
    </row>
    <row r="102" spans="1:8" x14ac:dyDescent="0.3">
      <c r="D102" s="1" t="s">
        <v>32</v>
      </c>
      <c r="E102" s="9">
        <f>SUM(E2:E101)</f>
        <v>32</v>
      </c>
      <c r="F102" s="9">
        <f t="shared" ref="F102:H102" si="0">SUM(F2:F101)</f>
        <v>10</v>
      </c>
      <c r="G102" s="9">
        <f t="shared" si="0"/>
        <v>19</v>
      </c>
      <c r="H102" s="9">
        <f t="shared" si="0"/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B2CC-15B2-4597-82B1-D949DACFDAD9}">
  <dimension ref="A2:G24"/>
  <sheetViews>
    <sheetView workbookViewId="0">
      <selection activeCell="D15" sqref="D15"/>
    </sheetView>
  </sheetViews>
  <sheetFormatPr defaultRowHeight="14.4" x14ac:dyDescent="0.3"/>
  <cols>
    <col min="1" max="1" width="25.5546875" customWidth="1"/>
    <col min="2" max="2" width="31.88671875" customWidth="1"/>
    <col min="3" max="3" width="14" customWidth="1"/>
    <col min="4" max="4" width="16.6640625" customWidth="1"/>
    <col min="6" max="6" width="18.21875" customWidth="1"/>
  </cols>
  <sheetData>
    <row r="2" spans="1:7" x14ac:dyDescent="0.3">
      <c r="A2" s="9" t="s">
        <v>19</v>
      </c>
    </row>
    <row r="4" spans="1:7" x14ac:dyDescent="0.3">
      <c r="B4" s="10"/>
      <c r="C4" s="10" t="s">
        <v>10</v>
      </c>
      <c r="D4" s="10" t="s">
        <v>11</v>
      </c>
    </row>
    <row r="5" spans="1:7" x14ac:dyDescent="0.3">
      <c r="B5" s="10" t="s">
        <v>12</v>
      </c>
      <c r="C5" s="10" t="s">
        <v>13</v>
      </c>
      <c r="D5" s="10" t="s">
        <v>14</v>
      </c>
      <c r="F5" s="14" t="s">
        <v>6</v>
      </c>
      <c r="G5" s="14">
        <v>32</v>
      </c>
    </row>
    <row r="6" spans="1:7" x14ac:dyDescent="0.3">
      <c r="B6" s="10" t="s">
        <v>15</v>
      </c>
      <c r="C6" s="10" t="s">
        <v>16</v>
      </c>
      <c r="D6" s="10" t="s">
        <v>17</v>
      </c>
      <c r="F6" s="14" t="s">
        <v>7</v>
      </c>
      <c r="G6" s="14">
        <v>10</v>
      </c>
    </row>
    <row r="7" spans="1:7" x14ac:dyDescent="0.3">
      <c r="F7" s="14" t="s">
        <v>33</v>
      </c>
      <c r="G7" s="14">
        <v>19</v>
      </c>
    </row>
    <row r="8" spans="1:7" x14ac:dyDescent="0.3">
      <c r="A8" s="9" t="s">
        <v>18</v>
      </c>
      <c r="F8" s="14" t="s">
        <v>34</v>
      </c>
      <c r="G8" s="14">
        <v>39</v>
      </c>
    </row>
    <row r="10" spans="1:7" x14ac:dyDescent="0.3">
      <c r="B10" s="15"/>
      <c r="C10" s="15" t="s">
        <v>10</v>
      </c>
      <c r="D10" s="15" t="s">
        <v>11</v>
      </c>
    </row>
    <row r="11" spans="1:7" x14ac:dyDescent="0.3">
      <c r="B11" s="15" t="s">
        <v>12</v>
      </c>
      <c r="C11" s="15">
        <v>32</v>
      </c>
      <c r="D11" s="15">
        <v>10</v>
      </c>
    </row>
    <row r="12" spans="1:7" x14ac:dyDescent="0.3">
      <c r="B12" s="15" t="s">
        <v>15</v>
      </c>
      <c r="C12" s="15">
        <v>19</v>
      </c>
      <c r="D12" s="15">
        <v>39</v>
      </c>
    </row>
    <row r="14" spans="1:7" x14ac:dyDescent="0.3">
      <c r="A14" s="9" t="s">
        <v>20</v>
      </c>
    </row>
    <row r="15" spans="1:7" x14ac:dyDescent="0.3">
      <c r="A15" s="9" t="s">
        <v>31</v>
      </c>
      <c r="B15" s="9" t="s">
        <v>26</v>
      </c>
      <c r="C15" s="9" t="s">
        <v>23</v>
      </c>
    </row>
    <row r="16" spans="1:7" ht="36.6" customHeight="1" x14ac:dyDescent="0.3">
      <c r="A16" s="13" t="s">
        <v>27</v>
      </c>
      <c r="B16" s="11" t="s">
        <v>21</v>
      </c>
      <c r="C16" s="12">
        <f>C11/(C11+D11)</f>
        <v>0.76190476190476186</v>
      </c>
    </row>
    <row r="17" spans="1:4" ht="27" customHeight="1" x14ac:dyDescent="0.3">
      <c r="A17" s="13" t="s">
        <v>28</v>
      </c>
      <c r="B17" s="11" t="s">
        <v>22</v>
      </c>
      <c r="C17" s="12">
        <f>C12/(C12+D12)</f>
        <v>0.32758620689655171</v>
      </c>
    </row>
    <row r="18" spans="1:4" ht="15.6" x14ac:dyDescent="0.3">
      <c r="A18" s="13"/>
      <c r="B18" s="11"/>
      <c r="C18" s="12"/>
    </row>
    <row r="19" spans="1:4" ht="30" customHeight="1" x14ac:dyDescent="0.3">
      <c r="A19" s="13" t="s">
        <v>29</v>
      </c>
      <c r="B19" s="11" t="s">
        <v>24</v>
      </c>
      <c r="C19" s="12">
        <f>_xlfn.NORM.S.INV(C16)-_xlfn.NORM.S.INV(C17)</f>
        <v>1.1590312368956677</v>
      </c>
      <c r="D19" t="s">
        <v>37</v>
      </c>
    </row>
    <row r="20" spans="1:4" ht="28.8" customHeight="1" x14ac:dyDescent="0.3">
      <c r="A20" s="13" t="s">
        <v>30</v>
      </c>
      <c r="B20" s="11" t="s">
        <v>25</v>
      </c>
      <c r="C20" s="12">
        <f>-_xlfn.NORM.S.INV(C16)+_xlfn.NORM.S.INV(C17)/2</f>
        <v>-0.93573713464257835</v>
      </c>
      <c r="D20" t="s">
        <v>35</v>
      </c>
    </row>
    <row r="21" spans="1:4" x14ac:dyDescent="0.3">
      <c r="C21" t="s">
        <v>36</v>
      </c>
    </row>
    <row r="23" spans="1:4" x14ac:dyDescent="0.3">
      <c r="B23" s="15" t="s">
        <v>38</v>
      </c>
      <c r="C23" s="15">
        <f>C11+D12</f>
        <v>71</v>
      </c>
    </row>
    <row r="24" spans="1:4" x14ac:dyDescent="0.3">
      <c r="B24" s="15" t="s">
        <v>39</v>
      </c>
      <c r="C24" s="15">
        <f>D11+C12</f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STUDY_ONE_OD_ORIENTATION DISCRI</vt:lpstr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Marar</cp:lastModifiedBy>
  <dcterms:created xsi:type="dcterms:W3CDTF">2025-09-08T13:53:03Z</dcterms:created>
  <dcterms:modified xsi:type="dcterms:W3CDTF">2025-09-10T05:28:40Z</dcterms:modified>
</cp:coreProperties>
</file>